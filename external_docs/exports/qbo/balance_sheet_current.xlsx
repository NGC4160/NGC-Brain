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4" i="1" l="1"/>
</calcChain>
</file>

<file path=xl/sharedStrings.xml><?xml version="1.0" encoding="utf-8"?>
<sst xmlns="http://schemas.openxmlformats.org/spreadsheetml/2006/main" count="65" uniqueCount="65">
  <si>
    <t>Neighborhood Golf Carts</t>
  </si>
  <si>
    <t>Balance Sheet</t>
  </si>
  <si>
    <t>As of Jun 28, 2026</t>
  </si>
  <si>
    <t>Assets</t>
  </si>
  <si>
    <t>Current Assets</t>
  </si>
  <si>
    <t>Bank Accounts</t>
  </si>
  <si>
    <t>Amazon Credit</t>
  </si>
  <si>
    <t>Chase Checking (7928)</t>
  </si>
  <si>
    <t>Growth &amp; Reserves (0056)</t>
  </si>
  <si>
    <t>Housecall Pro Balance</t>
  </si>
  <si>
    <t>Payroll 6966</t>
  </si>
  <si>
    <t>Tax Account 6982</t>
  </si>
  <si>
    <t>Tax Reserves (0031)</t>
  </si>
  <si>
    <t>Total for Bank Accounts</t>
  </si>
  <si>
    <t>Accounts Receivable</t>
  </si>
  <si>
    <t>Accounts Receivable (A/R)</t>
  </si>
  <si>
    <t>Total for Accounts Receivable</t>
  </si>
  <si>
    <t>Other Current Assets</t>
  </si>
  <si>
    <t>Due from LDOR</t>
  </si>
  <si>
    <t>Inventory Asset</t>
  </si>
  <si>
    <t>Undeposited Funds</t>
  </si>
  <si>
    <t>Warranty</t>
  </si>
  <si>
    <t>Total for Other Current Assets</t>
  </si>
  <si>
    <t>Total for Current Assets</t>
  </si>
  <si>
    <t>Fixed Assets</t>
  </si>
  <si>
    <t>Accumulated depreciation</t>
  </si>
  <si>
    <t>Vehicles</t>
  </si>
  <si>
    <t>Total for Fixed Assets</t>
  </si>
  <si>
    <t>Total for Assets</t>
  </si>
  <si>
    <t>Liabilities and Equity</t>
  </si>
  <si>
    <t>Liabilities</t>
  </si>
  <si>
    <t>Current Liabilities</t>
  </si>
  <si>
    <t>Other Current Liabilities</t>
  </si>
  <si>
    <t>Louisiana Department of Revenue Payable</t>
  </si>
  <si>
    <t>Louisiana Dept of Rev Sales Tax Payments</t>
  </si>
  <si>
    <t>Total for Louisiana Department of Revenue Payable</t>
  </si>
  <si>
    <t>Louisiana, Jefferson Parish Payable</t>
  </si>
  <si>
    <t>Louisiana, Saint Tammany Parish Payable</t>
  </si>
  <si>
    <t>Louisiana Saint Tammany Sales Tax Payments</t>
  </si>
  <si>
    <t>Total for Louisiana, Saint Tammany Parish Payable</t>
  </si>
  <si>
    <t>Louisiana, Tangipahoa Parish Payable</t>
  </si>
  <si>
    <t>Louisiana, Washington Parish Payable</t>
  </si>
  <si>
    <t>Out Of Scope Agency Payable</t>
  </si>
  <si>
    <t>Payroll Liabilities</t>
  </si>
  <si>
    <t>401k</t>
  </si>
  <si>
    <t>Health Insurance</t>
  </si>
  <si>
    <t>Service Vehicle Damage</t>
  </si>
  <si>
    <t>Tips</t>
  </si>
  <si>
    <t>Total for Payroll Liabilities</t>
  </si>
  <si>
    <t>Sales Tax Payable</t>
  </si>
  <si>
    <t>Stripe Capital (via Housecall Pro) - Loan 03/17/2025</t>
  </si>
  <si>
    <t>Stripe Capital (via Housecall Pro) - Loan 08/19/2025</t>
  </si>
  <si>
    <t>Total for Other Current Liabilities</t>
  </si>
  <si>
    <t>Total for Current Liabilities</t>
  </si>
  <si>
    <t>Total for Liabilities</t>
  </si>
  <si>
    <t>Equity</t>
  </si>
  <si>
    <t>Owner's Draw- Ryan White</t>
  </si>
  <si>
    <t>Owner's Equity - Ryan White</t>
  </si>
  <si>
    <t>Retained Earnings</t>
  </si>
  <si>
    <t>Net Income</t>
  </si>
  <si>
    <t>Total for Equity</t>
  </si>
  <si>
    <t>Total for Liabilities and Equity</t>
  </si>
  <si>
    <t/>
  </si>
  <si>
    <t>Total</t>
  </si>
  <si>
    <t>Cash Basis Sunday, June 28, 2026 11:08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</si>
</sst>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5"/>
    </xf>
    <xf numFmtId="0" fontId="5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5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68"/>
  <sheetViews>
    <sheetView tabSelected="1" workbookViewId="0" topLeftCell="A1"/>
  </sheetViews>
  <sheetFormatPr defaultColWidth="11.255" defaultRowHeight="16"/>
  <cols>
    <col min="1" max="1" width="45.375" style="51" customWidth="1"/>
    <col min="2" max="2" width="17" style="51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2" ht="16">
      <c r="A5" s="53" t="s">
        <v>62</v>
      </c>
      <c r="B5" s="57" t="s">
        <v>63</v>
      </c>
    </row>
    <row r="6" spans="1:1" ht="16">
      <c r="A6" s="40" t="s">
        <v>3</v>
      </c>
    </row>
    <row r="7" spans="1:1" ht="16">
      <c r="A7" s="41" t="s">
        <v>4</v>
      </c>
    </row>
    <row r="8" spans="1:1" ht="16">
      <c r="A8" s="42" t="s">
        <v>5</v>
      </c>
    </row>
    <row r="9" spans="1:2" ht="16">
      <c r="A9" s="43" t="s">
        <v>6</v>
      </c>
      <c r="B9" s="54">
        <v>0</v>
      </c>
    </row>
    <row r="10" spans="1:2" ht="16">
      <c r="A10" s="43" t="s">
        <v>7</v>
      </c>
      <c r="B10" s="54">
        <v>1259.82</v>
      </c>
    </row>
    <row r="11" spans="1:2" ht="16">
      <c r="A11" s="43" t="s">
        <v>8</v>
      </c>
      <c r="B11" s="54">
        <v>7650.0</v>
      </c>
    </row>
    <row r="12" spans="1:2" ht="16">
      <c r="A12" s="43" t="s">
        <v>9</v>
      </c>
      <c r="B12" s="54">
        <v>0</v>
      </c>
    </row>
    <row r="13" spans="1:2" ht="16">
      <c r="A13" s="43" t="s">
        <v>10</v>
      </c>
      <c r="B13" s="54">
        <v>66.4</v>
      </c>
    </row>
    <row r="14" spans="1:2" ht="16">
      <c r="A14" s="43" t="s">
        <v>11</v>
      </c>
      <c r="B14" s="54">
        <v>-2239.85</v>
      </c>
    </row>
    <row r="15" spans="1:2" ht="16">
      <c r="A15" s="43" t="s">
        <v>12</v>
      </c>
      <c r="B15" s="54">
        <v>0</v>
      </c>
    </row>
    <row r="16" spans="1:2" ht="16">
      <c r="A16" s="44" t="s">
        <v>13</v>
      </c>
      <c r="B16" s="55">
        <f>B8+B9+B10+B11+B12+B13+B14+B15</f>
        <v>6736.369999999999</v>
      </c>
    </row>
    <row r="17" spans="1:1" ht="16">
      <c r="A17" s="42" t="s">
        <v>14</v>
      </c>
    </row>
    <row r="18" spans="1:2" ht="16">
      <c r="A18" s="43" t="s">
        <v>15</v>
      </c>
      <c r="B18" s="56">
        <v>0</v>
      </c>
    </row>
    <row r="19" spans="1:2" ht="16">
      <c r="A19" s="44" t="s">
        <v>16</v>
      </c>
      <c r="B19" s="55">
        <f>B17+B18</f>
        <v>0.0</v>
      </c>
    </row>
    <row r="20" spans="1:1" ht="16">
      <c r="A20" s="42" t="s">
        <v>17</v>
      </c>
    </row>
    <row r="21" spans="1:2" ht="16">
      <c r="A21" s="43" t="s">
        <v>18</v>
      </c>
      <c r="B21" s="54">
        <v>6208.0</v>
      </c>
    </row>
    <row r="22" spans="1:2" ht="16">
      <c r="A22" s="43" t="s">
        <v>19</v>
      </c>
      <c r="B22" s="54">
        <v>19705.73</v>
      </c>
    </row>
    <row r="23" spans="1:2" ht="16">
      <c r="A23" s="43" t="s">
        <v>20</v>
      </c>
      <c r="B23" s="54">
        <v>3089.04</v>
      </c>
    </row>
    <row r="24" spans="1:2" ht="16">
      <c r="A24" s="43" t="s">
        <v>21</v>
      </c>
      <c r="B24" s="54">
        <v>30.0</v>
      </c>
    </row>
    <row r="25" spans="1:2" ht="16">
      <c r="A25" s="44" t="s">
        <v>22</v>
      </c>
      <c r="B25" s="55">
        <f>B20+B21+B22+B23+B24</f>
        <v>29032.77</v>
      </c>
    </row>
    <row r="26" spans="1:2" ht="16">
      <c r="A26" s="45" t="s">
        <v>23</v>
      </c>
      <c r="B26" s="55">
        <f>B7+B16+B19+B25</f>
        <v>35769.14</v>
      </c>
    </row>
    <row r="27" spans="1:1" ht="16">
      <c r="A27" s="41" t="s">
        <v>24</v>
      </c>
    </row>
    <row r="28" spans="1:2" ht="16">
      <c r="A28" s="42" t="s">
        <v>25</v>
      </c>
      <c r="B28" s="54">
        <v>-5000.0</v>
      </c>
    </row>
    <row r="29" spans="1:2" ht="16">
      <c r="A29" s="42" t="s">
        <v>26</v>
      </c>
      <c r="B29" s="54">
        <v>5000.0</v>
      </c>
    </row>
    <row r="30" spans="1:2" ht="16">
      <c r="A30" s="45" t="s">
        <v>27</v>
      </c>
      <c r="B30" s="55">
        <f>B27+B28+B29</f>
        <v>0.0</v>
      </c>
    </row>
    <row r="31" spans="1:2" ht="16">
      <c r="A31" s="46" t="s">
        <v>28</v>
      </c>
      <c r="B31" s="55">
        <f>B6+B26+B30</f>
        <v>35769.14</v>
      </c>
    </row>
    <row r="32" spans="1:1" ht="16">
      <c r="A32" s="40" t="s">
        <v>29</v>
      </c>
    </row>
    <row r="33" spans="1:1" ht="16">
      <c r="A33" s="41" t="s">
        <v>30</v>
      </c>
    </row>
    <row r="34" spans="1:1" ht="16">
      <c r="A34" s="42" t="s">
        <v>31</v>
      </c>
    </row>
    <row r="35" spans="1:1" ht="16">
      <c r="A35" s="43" t="s">
        <v>32</v>
      </c>
    </row>
    <row r="36" spans="1:2" ht="16">
      <c r="A36" s="47" t="s">
        <v>33</v>
      </c>
      <c r="B36" s="54">
        <v>6967.64</v>
      </c>
    </row>
    <row r="37" spans="1:2" ht="16">
      <c r="A37" s="48" t="s">
        <v>34</v>
      </c>
      <c r="B37" s="54">
        <v>-1974.0</v>
      </c>
    </row>
    <row r="38" spans="1:2" ht="16">
      <c r="A38" s="49" t="s">
        <v>35</v>
      </c>
      <c r="B38" s="55">
        <f>B36+B37</f>
        <v>4993.64</v>
      </c>
    </row>
    <row r="39" spans="1:2" ht="16">
      <c r="A39" s="47" t="s">
        <v>36</v>
      </c>
      <c r="B39" s="54">
        <v>93.08</v>
      </c>
    </row>
    <row r="40" spans="1:2" ht="16">
      <c r="A40" s="47" t="s">
        <v>37</v>
      </c>
      <c r="B40" s="54">
        <v>2327.07</v>
      </c>
    </row>
    <row r="41" spans="1:2" ht="16">
      <c r="A41" s="48" t="s">
        <v>38</v>
      </c>
      <c r="B41" s="54">
        <v>-2824.0</v>
      </c>
    </row>
    <row r="42" spans="1:2" ht="16">
      <c r="A42" s="49" t="s">
        <v>39</v>
      </c>
      <c r="B42" s="55">
        <f>B40+B41</f>
        <v>-496.92999999999984</v>
      </c>
    </row>
    <row r="43" spans="1:2" ht="16">
      <c r="A43" s="47" t="s">
        <v>40</v>
      </c>
      <c r="B43" s="54">
        <v>31.02</v>
      </c>
    </row>
    <row r="44" spans="1:2" ht="16">
      <c r="A44" s="47" t="s">
        <v>41</v>
      </c>
      <c r="B44" s="54">
        <v>16.56</v>
      </c>
    </row>
    <row r="45" spans="1:2" ht="16">
      <c r="A45" s="47" t="s">
        <v>42</v>
      </c>
      <c r="B45" s="54">
        <v>401.65</v>
      </c>
    </row>
    <row r="46" spans="1:2" ht="16">
      <c r="A46" s="47" t="s">
        <v>43</v>
      </c>
      <c r="B46" s="54">
        <v>292.83</v>
      </c>
    </row>
    <row r="47" spans="1:2" ht="16">
      <c r="A47" s="48" t="s">
        <v>44</v>
      </c>
      <c r="B47" s="54">
        <v>-186.5</v>
      </c>
    </row>
    <row r="48" spans="1:2" ht="16">
      <c r="A48" s="48" t="s">
        <v>45</v>
      </c>
      <c r="B48" s="56">
        <v>0</v>
      </c>
    </row>
    <row r="49" spans="1:2" ht="16">
      <c r="A49" s="48" t="s">
        <v>46</v>
      </c>
      <c r="B49" s="56">
        <v>0</v>
      </c>
    </row>
    <row r="50" spans="1:2" ht="16">
      <c r="A50" s="48" t="s">
        <v>47</v>
      </c>
      <c r="B50" s="56">
        <v>0</v>
      </c>
    </row>
    <row r="51" spans="1:2" ht="16">
      <c r="A51" s="49" t="s">
        <v>48</v>
      </c>
      <c r="B51" s="55">
        <f>B46+B47+B48+B49+B50</f>
        <v>106.32999999999998</v>
      </c>
    </row>
    <row r="52" spans="1:2" ht="16">
      <c r="A52" s="47" t="s">
        <v>49</v>
      </c>
      <c r="B52" s="54">
        <v>1172.02</v>
      </c>
    </row>
    <row r="53" spans="1:2" ht="16">
      <c r="A53" s="47" t="s">
        <v>50</v>
      </c>
      <c r="B53" s="56">
        <v>0</v>
      </c>
    </row>
    <row r="54" spans="1:2" ht="16">
      <c r="A54" s="47" t="s">
        <v>51</v>
      </c>
      <c r="B54" s="54">
        <v>15113.15</v>
      </c>
    </row>
    <row r="55" spans="1:2" ht="16">
      <c r="A55" s="50" t="s">
        <v>52</v>
      </c>
      <c r="B55" s="55">
        <f>B35+B38+B39+B42+B43+B44+B45+B51+B52+B53+B54</f>
        <v>21430.52</v>
      </c>
    </row>
    <row r="56" spans="1:2" ht="16">
      <c r="A56" s="44" t="s">
        <v>53</v>
      </c>
      <c r="B56" s="55">
        <f>B34+B55</f>
        <v>21430.52</v>
      </c>
    </row>
    <row r="57" spans="1:2" ht="16">
      <c r="A57" s="45" t="s">
        <v>54</v>
      </c>
      <c r="B57" s="55">
        <f>B33+B56</f>
        <v>21430.52</v>
      </c>
    </row>
    <row r="58" spans="1:1" ht="16">
      <c r="A58" s="41" t="s">
        <v>55</v>
      </c>
    </row>
    <row r="59" spans="1:2" ht="16">
      <c r="A59" s="42" t="s">
        <v>56</v>
      </c>
      <c r="B59" s="54">
        <v>-22000.0</v>
      </c>
    </row>
    <row r="60" spans="1:2" ht="16">
      <c r="A60" s="42" t="s">
        <v>57</v>
      </c>
      <c r="B60" s="54">
        <v>-29570.32</v>
      </c>
    </row>
    <row r="61" spans="1:2" ht="16">
      <c r="A61" s="42" t="s">
        <v>58</v>
      </c>
      <c r="B61" s="54">
        <v>20160.05000000014</v>
      </c>
    </row>
    <row r="62" spans="1:2" ht="16">
      <c r="A62" s="42" t="s">
        <v>59</v>
      </c>
      <c r="B62" s="54">
        <v>45748.88999999992</v>
      </c>
    </row>
    <row r="63" spans="1:2" ht="16">
      <c r="A63" s="45" t="s">
        <v>60</v>
      </c>
      <c r="B63" s="55">
        <f>B58+B59+B60+B61+B62</f>
        <v>14338.62000000006</v>
      </c>
    </row>
    <row r="64" spans="1:2" ht="16">
      <c r="A64" s="46" t="s">
        <v>61</v>
      </c>
      <c r="B64" s="55">
        <f>B32+B57+B63</f>
        <v>35769.14000000006</v>
      </c>
    </row>
    <row r="68" spans="1:1" ht="16">
      <c r="A68" s="58" t="s">
        <v>64</v>
      </c>
    </row>
  </sheetData>
  <mergeCells count="4">
    <mergeCell ref="A1:B1"/>
    <mergeCell ref="A2:B2"/>
    <mergeCell ref="A3:B3"/>
    <mergeCell ref="A68:B6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