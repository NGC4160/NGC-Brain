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umar97/dev/teps/app/src/test/resources/CrbReportsPlugin/Template/"/>
    </mc:Choice>
  </mc:AlternateContent>
  <bookViews>
    <workbookView xWindow="3880" yWindow="2200" windowWidth="28040" windowHeight="17440" activeTab="0"/>
  </bookViews>
  <sheets>
    <sheet name="Sheet1" sheetId="1" r:id="rId2"/>
  </sheets>
  <definedNames/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8" i="1" l="1"/>
</calcChain>
</file>

<file path=xl/sharedStrings.xml><?xml version="1.0" encoding="utf-8"?>
<sst xmlns="http://schemas.openxmlformats.org/spreadsheetml/2006/main" count="99" uniqueCount="99">
  <si>
    <t>Neighborhood Golf Carts</t>
  </si>
  <si>
    <t>Profit and Loss</t>
  </si>
  <si>
    <t>June 28, 2025-June 28, 2026</t>
  </si>
  <si>
    <t>Income</t>
  </si>
  <si>
    <t>Billable Expense Income-1</t>
  </si>
  <si>
    <t>Discounts given</t>
  </si>
  <si>
    <t>Housecall Pro Tips Account</t>
  </si>
  <si>
    <t>LFP Conversions Only</t>
  </si>
  <si>
    <t>Mobile Trip Income</t>
  </si>
  <si>
    <t>Payment Processing Fee</t>
  </si>
  <si>
    <t>Refund</t>
  </si>
  <si>
    <t>Sales</t>
  </si>
  <si>
    <t>Sales and Services</t>
  </si>
  <si>
    <t>Sales of Product Income</t>
  </si>
  <si>
    <t>Services Income</t>
  </si>
  <si>
    <t>Shop Supply Fee</t>
  </si>
  <si>
    <t>Unapplied Cash Payment Income</t>
  </si>
  <si>
    <t>Total for Income</t>
  </si>
  <si>
    <t>Cost of Goods Sold</t>
  </si>
  <si>
    <t>Contractors</t>
  </si>
  <si>
    <t>Cost of goods sold</t>
  </si>
  <si>
    <t>Job Supplies</t>
  </si>
  <si>
    <t>Total for Cost of Goods Sold</t>
  </si>
  <si>
    <t>Gross Profit</t>
  </si>
  <si>
    <t>Expenses</t>
  </si>
  <si>
    <t>Accounting Services</t>
  </si>
  <si>
    <t>Advertising &amp; Marketing</t>
  </si>
  <si>
    <t>Promotional Supplies</t>
  </si>
  <si>
    <t>Total for Advertising &amp; Marketing</t>
  </si>
  <si>
    <t>Automobile Expense</t>
  </si>
  <si>
    <t>Auto Insurance</t>
  </si>
  <si>
    <t>Fuel</t>
  </si>
  <si>
    <t>Repairs &amp; Maintenance</t>
  </si>
  <si>
    <t>Total for Automobile Expense</t>
  </si>
  <si>
    <t>Bank Charges &amp; Fees</t>
  </si>
  <si>
    <t>Business License and Permits</t>
  </si>
  <si>
    <t>Charitable Contributions</t>
  </si>
  <si>
    <t>Coaching &amp; Consulting</t>
  </si>
  <si>
    <t>Depreciation</t>
  </si>
  <si>
    <t>Dues &amp; Subscriptions</t>
  </si>
  <si>
    <t>Education &amp; Training</t>
  </si>
  <si>
    <t>Employee benefits</t>
  </si>
  <si>
    <t>Workers' compensation insurance</t>
  </si>
  <si>
    <t>Total for Employee benefits</t>
  </si>
  <si>
    <t>Equipment Rental</t>
  </si>
  <si>
    <t>Hiring Expenses</t>
  </si>
  <si>
    <t>Insurance</t>
  </si>
  <si>
    <t>Liability insurance</t>
  </si>
  <si>
    <t>Total for Insurance</t>
  </si>
  <si>
    <t>Meals</t>
  </si>
  <si>
    <t>Memberships &amp; Subscriptions</t>
  </si>
  <si>
    <t>Merchant Account Fees</t>
  </si>
  <si>
    <t>Miscellaneous</t>
  </si>
  <si>
    <t>Moving &amp; Storage</t>
  </si>
  <si>
    <t>Office expenses</t>
  </si>
  <si>
    <t>Parking and Tolls</t>
  </si>
  <si>
    <t>Payroll Expenses</t>
  </si>
  <si>
    <t>401k Employer Portion</t>
  </si>
  <si>
    <t>Bonus</t>
  </si>
  <si>
    <t>Officer Salaries &amp; Wages</t>
  </si>
  <si>
    <t>Other Salaries &amp; Wages</t>
  </si>
  <si>
    <t>Payroll Taxes</t>
  </si>
  <si>
    <t>Reimbursement</t>
  </si>
  <si>
    <t>Tips</t>
  </si>
  <si>
    <t>Total for Payroll Expenses</t>
  </si>
  <si>
    <t>Payroll Processing Fees</t>
  </si>
  <si>
    <t>Postage &amp; Shipping</t>
  </si>
  <si>
    <t>Professional Fees</t>
  </si>
  <si>
    <t>Rent</t>
  </si>
  <si>
    <t>Shop Supplies</t>
  </si>
  <si>
    <t>Small Tools</t>
  </si>
  <si>
    <t>Software Expense</t>
  </si>
  <si>
    <t>Stripe Capital (via Housecall Pro) - Fees</t>
  </si>
  <si>
    <t>Taxes paid</t>
  </si>
  <si>
    <t>Unapplied Cash Bill Payment Expense</t>
  </si>
  <si>
    <t>Uniforms</t>
  </si>
  <si>
    <t>Utilities</t>
  </si>
  <si>
    <t>Computer &amp; Internet</t>
  </si>
  <si>
    <t>gas and electric</t>
  </si>
  <si>
    <t>Telephone</t>
  </si>
  <si>
    <t>Total for Utilities</t>
  </si>
  <si>
    <t>Website/ Domain Hosting</t>
  </si>
  <si>
    <t>Total for Expenses</t>
  </si>
  <si>
    <t>Net Operating Income</t>
  </si>
  <si>
    <t>Other Income</t>
  </si>
  <si>
    <t>Delivery</t>
  </si>
  <si>
    <t>Gain on Sale of Asset</t>
  </si>
  <si>
    <t>Interest Income</t>
  </si>
  <si>
    <t>Other Income - Amazon Credit</t>
  </si>
  <si>
    <t>Shipping and Handling</t>
  </si>
  <si>
    <t>Total for Other Income</t>
  </si>
  <si>
    <t>Other Expenses</t>
  </si>
  <si>
    <t>Suspense</t>
  </si>
  <si>
    <t>Total for Other Expenses</t>
  </si>
  <si>
    <t>Net Other Income</t>
  </si>
  <si>
    <t>Net Income</t>
  </si>
  <si>
    <t/>
  </si>
  <si>
    <t>Total</t>
  </si>
  <si>
    <t>Cash Basis Sunday, June 28, 2026 11:07 PM GMTZ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</si>
</sst>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&quot;$&quot;#,##0.00"/>
    <numFmt numFmtId="178" formatCode="#,##0.00"/>
  </numFmts>
  <fonts count="9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>
      <alignment/>
      <protection/>
    </xf>
    <xf numFmtId="0" fontId="2" fillId="0" borderId="0">
      <alignment/>
      <protection/>
    </xf>
    <xf numFmtId="0" fontId="2" fillId="0" borderId="2">
      <alignment/>
      <protection/>
    </xf>
  </cellStyleXfs>
  <cellXfs count="43"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178" fontId="0" fillId="0" borderId="0" xfId="0" applyNumberFormat="1"/>
    <xf numFmtId="178" fontId="3" fillId="0" borderId="0" xfId="0" applyNumberFormat="1" applyFont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77" fontId="0" fillId="0" borderId="0" xfId="0" applyNumberFormat="1"/>
    <xf numFmtId="177" fontId="2" fillId="0" borderId="0" xfId="0" applyNumberFormat="1" applyFont="1"/>
    <xf numFmtId="177" fontId="2" fillId="0" borderId="2" xfId="0" applyNumberFormat="1" applyFont="1" applyBorder="1"/>
    <xf numFmtId="177" fontId="5" fillId="0" borderId="2" xfId="0" applyNumberFormat="1" applyFont="1" applyBorder="1"/>
    <xf numFmtId="0" fontId="0" fillId="0" borderId="0" xfId="0" applyAlignment="1">
      <alignment horizontal="left" indent="2"/>
    </xf>
    <xf numFmtId="0" fontId="3" fillId="0" borderId="0" xfId="0" applyFont="1" applyAlignment="1">
      <alignment horizontal="left" indent="2"/>
    </xf>
    <xf numFmtId="0" fontId="2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3" fillId="0" borderId="0" xfId="0" applyFont="1"/>
    <xf numFmtId="177" fontId="3" fillId="0" borderId="0" xfId="0" applyNumberFormat="1" applyFont="1"/>
    <xf numFmtId="0" fontId="2" fillId="0" borderId="1" xfId="20">
      <alignment/>
      <protection/>
    </xf>
    <xf numFmtId="0" fontId="4" fillId="0" borderId="1" xfId="20" applyFont="1">
      <alignment/>
      <protection/>
    </xf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4" fillId="0" borderId="1" xfId="20" applyFont="1" applyAlignment="1">
      <alignment wrapText="1"/>
      <protection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1"/>
    </xf>
    <xf numFmtId="0" fontId="5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2"/>
    </xf>
    <xf numFmtId="0" fontId="5" fillId="0" borderId="0" xfId="0" applyFont="1" applyAlignment="1">
      <alignment horizontal="left" wrapText="1" indent="1"/>
    </xf>
    <xf numFmtId="0" fontId="0" fillId="0" borderId="0" xfId="0" applyAlignment="1">
      <alignment wrapText="1"/>
    </xf>
    <xf numFmtId="0" fontId="4" fillId="0" borderId="1" xfId="20" applyFont="1" applyBorder="1" applyAlignment="1">
      <alignment wrapText="1"/>
      <protection/>
    </xf>
    <xf numFmtId="0" fontId="4" fillId="0" borderId="1" xfId="20" applyFont="1" applyBorder="1" applyAlignment="1">
      <alignment horizontal="center" wrapText="1"/>
      <protection/>
    </xf>
    <xf numFmtId="178" fontId="3" fillId="0" borderId="0" xfId="0" applyNumberFormat="1" applyFont="1" applyAlignment="1">
      <alignment wrapText="1"/>
    </xf>
    <xf numFmtId="177" fontId="5" fillId="0" borderId="2" xfId="0" applyNumberFormat="1" applyFont="1" applyBorder="1" applyAlignment="1">
      <alignment wrapText="1"/>
    </xf>
    <xf numFmtId="0" fontId="3" fillId="0" borderId="0" xfId="0" applyFont="1" applyAlignment="1">
      <alignment wrapText="1"/>
    </xf>
    <xf numFmtId="177" fontId="3" fillId="0" borderId="0" xfId="0" applyNumberFormat="1" applyFont="1" applyAlignment="1">
      <alignment wrapText="1"/>
    </xf>
    <xf numFmtId="0" fontId="4" fillId="0" borderId="1" xfId="20" applyFont="1" applyAlignment="1">
      <alignment horizontal="center" wrapText="1"/>
      <protection/>
    </xf>
    <xf numFmtId="0" fontId="3" fillId="0" borderId="0" xfId="0" applyFont="1" applyAlignment="1">
      <alignment horizontal="center" wrapText="1"/>
    </xf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erCellStyle" xfId="20"/>
    <cellStyle name="GroupedCellStyle" xfId="21"/>
    <cellStyle name="TotalCellStyle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8D4B3FEF-A70D-B944-82F4-C9836B181100}">
  <dimension ref="A1:B102"/>
  <sheetViews>
    <sheetView tabSelected="1" workbookViewId="0" topLeftCell="A1"/>
  </sheetViews>
  <sheetFormatPr defaultColWidth="11.255" defaultRowHeight="16"/>
  <cols>
    <col min="1" max="1" width="35.875" style="34" customWidth="1"/>
    <col min="2" max="2" width="16.125" style="34" customWidth="1"/>
  </cols>
  <sheetData>
    <row r="1" spans="1:1" ht="16">
      <c r="A1" s="25" t="s">
        <v>0</v>
      </c>
    </row>
    <row r="2" spans="1:1" ht="16">
      <c r="A2" s="26" t="s">
        <v>1</v>
      </c>
    </row>
    <row r="3" spans="1:1" ht="16">
      <c r="A3" s="27" t="s">
        <v>2</v>
      </c>
    </row>
    <row r="5" spans="1:2" ht="16">
      <c r="A5" s="36" t="s">
        <v>96</v>
      </c>
      <c r="B5" s="41" t="s">
        <v>97</v>
      </c>
    </row>
    <row r="6" spans="1:1" ht="16">
      <c r="A6" s="29" t="s">
        <v>3</v>
      </c>
    </row>
    <row r="7" spans="1:2" ht="16">
      <c r="A7" s="30" t="s">
        <v>4</v>
      </c>
      <c r="B7" s="37">
        <v>460.25</v>
      </c>
    </row>
    <row r="8" spans="1:2" ht="16">
      <c r="A8" s="30" t="s">
        <v>5</v>
      </c>
      <c r="B8" s="37">
        <v>-7948.61</v>
      </c>
    </row>
    <row r="9" spans="1:2" ht="16">
      <c r="A9" s="30" t="s">
        <v>6</v>
      </c>
      <c r="B9" s="37">
        <v>2842.86</v>
      </c>
    </row>
    <row r="10" spans="1:2" ht="16">
      <c r="A10" s="30" t="s">
        <v>7</v>
      </c>
      <c r="B10" s="37">
        <v>81026.21</v>
      </c>
    </row>
    <row r="11" spans="1:2" ht="16">
      <c r="A11" s="30" t="s">
        <v>8</v>
      </c>
      <c r="B11" s="37">
        <v>8257.85</v>
      </c>
    </row>
    <row r="12" spans="1:2" ht="16">
      <c r="A12" s="30" t="s">
        <v>9</v>
      </c>
      <c r="B12" s="37">
        <v>1309.03</v>
      </c>
    </row>
    <row r="13" spans="1:2" ht="16">
      <c r="A13" s="30" t="s">
        <v>10</v>
      </c>
      <c r="B13" s="37">
        <v>3097.67</v>
      </c>
    </row>
    <row r="14" spans="1:2" ht="16">
      <c r="A14" s="30" t="s">
        <v>11</v>
      </c>
      <c r="B14" s="37">
        <v>22710.09</v>
      </c>
    </row>
    <row r="15" spans="1:2" ht="16">
      <c r="A15" s="30" t="s">
        <v>12</v>
      </c>
      <c r="B15" s="37">
        <v>377092.68</v>
      </c>
    </row>
    <row r="16" spans="1:2" ht="16">
      <c r="A16" s="30" t="s">
        <v>13</v>
      </c>
      <c r="B16" s="37">
        <v>22978.34</v>
      </c>
    </row>
    <row r="17" spans="1:2" ht="16">
      <c r="A17" s="30" t="s">
        <v>14</v>
      </c>
      <c r="B17" s="37">
        <v>55100.83</v>
      </c>
    </row>
    <row r="18" spans="1:2" ht="16">
      <c r="A18" s="30" t="s">
        <v>15</v>
      </c>
      <c r="B18" s="37">
        <v>1981.82</v>
      </c>
    </row>
    <row r="19" spans="1:2" ht="16">
      <c r="A19" s="30" t="s">
        <v>16</v>
      </c>
      <c r="B19" s="37">
        <v>-14399.92</v>
      </c>
    </row>
    <row r="20" spans="1:2" ht="16">
      <c r="A20" s="31" t="s">
        <v>17</v>
      </c>
      <c r="B20" s="38">
        <f>B6+B7+B8+B9+B10+B11+B12+B13+B14+B15+B16+B17+B18+B19</f>
        <v>554509.1</v>
      </c>
    </row>
    <row r="21" spans="1:1" ht="16">
      <c r="A21" s="29" t="s">
        <v>18</v>
      </c>
    </row>
    <row r="22" spans="1:2" ht="16">
      <c r="A22" s="30" t="s">
        <v>19</v>
      </c>
      <c r="B22" s="37">
        <v>4453.96</v>
      </c>
    </row>
    <row r="23" spans="1:2" ht="16">
      <c r="A23" s="30" t="s">
        <v>20</v>
      </c>
      <c r="B23" s="37">
        <v>97253.61</v>
      </c>
    </row>
    <row r="24" spans="1:2" ht="16">
      <c r="A24" s="30" t="s">
        <v>21</v>
      </c>
      <c r="B24" s="37">
        <v>80883.51</v>
      </c>
    </row>
    <row r="25" spans="1:2" ht="16">
      <c r="A25" s="31" t="s">
        <v>22</v>
      </c>
      <c r="B25" s="38">
        <f>B21+B22+B23+B24</f>
        <v>182591.08000000002</v>
      </c>
    </row>
    <row r="26" spans="1:2" ht="16">
      <c r="A26" s="31" t="s">
        <v>23</v>
      </c>
      <c r="B26" s="38">
        <f>B20-B25</f>
        <v>371918.01999999996</v>
      </c>
    </row>
    <row r="27" spans="1:1" ht="16">
      <c r="A27" s="29" t="s">
        <v>24</v>
      </c>
    </row>
    <row r="28" spans="1:2" ht="16">
      <c r="A28" s="30" t="s">
        <v>25</v>
      </c>
      <c r="B28" s="37">
        <v>1533.86</v>
      </c>
    </row>
    <row r="29" spans="1:2" ht="16">
      <c r="A29" s="30" t="s">
        <v>26</v>
      </c>
      <c r="B29" s="37">
        <v>62185.7</v>
      </c>
    </row>
    <row r="30" spans="1:2" ht="16">
      <c r="A30" s="32" t="s">
        <v>27</v>
      </c>
      <c r="B30" s="37">
        <v>1660.07</v>
      </c>
    </row>
    <row r="31" spans="1:2" ht="16">
      <c r="A31" s="33" t="s">
        <v>28</v>
      </c>
      <c r="B31" s="38">
        <f>B29+B30</f>
        <v>63845.77</v>
      </c>
    </row>
    <row r="32" spans="1:2" ht="16">
      <c r="A32" s="30" t="s">
        <v>29</v>
      </c>
      <c r="B32" s="39"/>
    </row>
    <row r="33" spans="1:2" ht="16">
      <c r="A33" s="32" t="s">
        <v>30</v>
      </c>
      <c r="B33" s="37">
        <v>7212.0</v>
      </c>
    </row>
    <row r="34" spans="1:2" ht="16">
      <c r="A34" s="32" t="s">
        <v>31</v>
      </c>
      <c r="B34" s="37">
        <v>11254.99</v>
      </c>
    </row>
    <row r="35" spans="1:2" ht="16">
      <c r="A35" s="32" t="s">
        <v>32</v>
      </c>
      <c r="B35" s="37">
        <v>5091.05</v>
      </c>
    </row>
    <row r="36" spans="1:2" ht="16">
      <c r="A36" s="33" t="s">
        <v>33</v>
      </c>
      <c r="B36" s="38">
        <f>B32+B33+B34+B35</f>
        <v>23558.039999999997</v>
      </c>
    </row>
    <row r="37" spans="1:2" ht="16">
      <c r="A37" s="30" t="s">
        <v>34</v>
      </c>
      <c r="B37" s="37">
        <v>1100.27</v>
      </c>
    </row>
    <row r="38" spans="1:2" ht="16">
      <c r="A38" s="30" t="s">
        <v>35</v>
      </c>
      <c r="B38" s="37">
        <v>749.02</v>
      </c>
    </row>
    <row r="39" spans="1:2" ht="16">
      <c r="A39" s="30" t="s">
        <v>36</v>
      </c>
      <c r="B39" s="37">
        <v>76.46</v>
      </c>
    </row>
    <row r="40" spans="1:2" ht="16">
      <c r="A40" s="30" t="s">
        <v>37</v>
      </c>
      <c r="B40" s="37">
        <v>11780.41</v>
      </c>
    </row>
    <row r="41" spans="1:2" ht="16">
      <c r="A41" s="30" t="s">
        <v>38</v>
      </c>
      <c r="B41" s="37">
        <v>11550.0</v>
      </c>
    </row>
    <row r="42" spans="1:2" ht="16">
      <c r="A42" s="30" t="s">
        <v>39</v>
      </c>
      <c r="B42" s="37">
        <v>809.78</v>
      </c>
    </row>
    <row r="43" spans="1:2" ht="16">
      <c r="A43" s="30" t="s">
        <v>40</v>
      </c>
      <c r="B43" s="37">
        <v>1327.5</v>
      </c>
    </row>
    <row r="44" spans="1:2" ht="16">
      <c r="A44" s="30" t="s">
        <v>41</v>
      </c>
      <c r="B44" s="39"/>
    </row>
    <row r="45" spans="1:2" ht="16">
      <c r="A45" s="32" t="s">
        <v>42</v>
      </c>
      <c r="B45" s="37">
        <v>1257.93</v>
      </c>
    </row>
    <row r="46" spans="1:2" ht="16">
      <c r="A46" s="33" t="s">
        <v>43</v>
      </c>
      <c r="B46" s="38">
        <f>B44+B45</f>
        <v>1257.93</v>
      </c>
    </row>
    <row r="47" spans="1:2" ht="16">
      <c r="A47" s="30" t="s">
        <v>44</v>
      </c>
      <c r="B47" s="37">
        <v>294.98</v>
      </c>
    </row>
    <row r="48" spans="1:2" ht="16">
      <c r="A48" s="30" t="s">
        <v>45</v>
      </c>
      <c r="B48" s="37">
        <v>1186.05</v>
      </c>
    </row>
    <row r="49" spans="1:2" ht="16">
      <c r="A49" s="30" t="s">
        <v>46</v>
      </c>
      <c r="B49" s="39"/>
    </row>
    <row r="50" spans="1:2" ht="16">
      <c r="A50" s="32" t="s">
        <v>47</v>
      </c>
      <c r="B50" s="37">
        <v>4531.47</v>
      </c>
    </row>
    <row r="51" spans="1:2" ht="16">
      <c r="A51" s="33" t="s">
        <v>48</v>
      </c>
      <c r="B51" s="38">
        <f>B49+B50</f>
        <v>4531.47</v>
      </c>
    </row>
    <row r="52" spans="1:2" ht="16">
      <c r="A52" s="30" t="s">
        <v>49</v>
      </c>
      <c r="B52" s="37">
        <v>2213.04</v>
      </c>
    </row>
    <row r="53" spans="1:2" ht="16">
      <c r="A53" s="30" t="s">
        <v>50</v>
      </c>
      <c r="B53" s="37">
        <v>544.18</v>
      </c>
    </row>
    <row r="54" spans="1:2" ht="16">
      <c r="A54" s="30" t="s">
        <v>51</v>
      </c>
      <c r="B54" s="37">
        <v>13503.69</v>
      </c>
    </row>
    <row r="55" spans="1:2" ht="16">
      <c r="A55" s="30" t="s">
        <v>52</v>
      </c>
      <c r="B55" s="37">
        <v>19.88</v>
      </c>
    </row>
    <row r="56" spans="1:2" ht="16">
      <c r="A56" s="30" t="s">
        <v>53</v>
      </c>
      <c r="B56" s="37">
        <v>601.21</v>
      </c>
    </row>
    <row r="57" spans="1:2" ht="16">
      <c r="A57" s="30" t="s">
        <v>54</v>
      </c>
      <c r="B57" s="37">
        <v>2584.56</v>
      </c>
    </row>
    <row r="58" spans="1:2" ht="16">
      <c r="A58" s="30" t="s">
        <v>55</v>
      </c>
      <c r="B58" s="37">
        <v>264.04</v>
      </c>
    </row>
    <row r="59" spans="1:2" ht="16">
      <c r="A59" s="30" t="s">
        <v>56</v>
      </c>
      <c r="B59" s="40">
        <v>0</v>
      </c>
    </row>
    <row r="60" spans="1:2" ht="16">
      <c r="A60" s="32" t="s">
        <v>57</v>
      </c>
      <c r="B60" s="37">
        <v>1526.23</v>
      </c>
    </row>
    <row r="61" spans="1:2" ht="16">
      <c r="A61" s="32" t="s">
        <v>58</v>
      </c>
      <c r="B61" s="37">
        <v>-214.35</v>
      </c>
    </row>
    <row r="62" spans="1:2" ht="16">
      <c r="A62" s="32" t="s">
        <v>59</v>
      </c>
      <c r="B62" s="37">
        <v>29510.87</v>
      </c>
    </row>
    <row r="63" spans="1:2" ht="16">
      <c r="A63" s="32" t="s">
        <v>60</v>
      </c>
      <c r="B63" s="37">
        <v>98441.18</v>
      </c>
    </row>
    <row r="64" spans="1:2" ht="16">
      <c r="A64" s="32" t="s">
        <v>61</v>
      </c>
      <c r="B64" s="37">
        <v>11854.82</v>
      </c>
    </row>
    <row r="65" spans="1:2" ht="16">
      <c r="A65" s="32" t="s">
        <v>62</v>
      </c>
      <c r="B65" s="37">
        <v>-6.0</v>
      </c>
    </row>
    <row r="66" spans="1:2" ht="16">
      <c r="A66" s="32" t="s">
        <v>63</v>
      </c>
      <c r="B66" s="37">
        <v>-1682.09</v>
      </c>
    </row>
    <row r="67" spans="1:2" ht="16">
      <c r="A67" s="33" t="s">
        <v>64</v>
      </c>
      <c r="B67" s="38">
        <f>B59+B60+B61+B62+B63+B64+B65+B66</f>
        <v>139430.66</v>
      </c>
    </row>
    <row r="68" spans="1:2" ht="16">
      <c r="A68" s="30" t="s">
        <v>65</v>
      </c>
      <c r="B68" s="37">
        <v>4041.76</v>
      </c>
    </row>
    <row r="69" spans="1:2" ht="16">
      <c r="A69" s="30" t="s">
        <v>66</v>
      </c>
      <c r="B69" s="37">
        <v>1626.76</v>
      </c>
    </row>
    <row r="70" spans="1:2" ht="16">
      <c r="A70" s="30" t="s">
        <v>67</v>
      </c>
      <c r="B70" s="37">
        <v>5524.7</v>
      </c>
    </row>
    <row r="71" spans="1:2" ht="16">
      <c r="A71" s="30" t="s">
        <v>68</v>
      </c>
      <c r="B71" s="37">
        <v>23763.18</v>
      </c>
    </row>
    <row r="72" spans="1:2" ht="16">
      <c r="A72" s="30" t="s">
        <v>69</v>
      </c>
      <c r="B72" s="37">
        <v>5047.29</v>
      </c>
    </row>
    <row r="73" spans="1:2" ht="16">
      <c r="A73" s="30" t="s">
        <v>70</v>
      </c>
      <c r="B73" s="37">
        <v>3934.33</v>
      </c>
    </row>
    <row r="74" spans="1:2" ht="16">
      <c r="A74" s="30" t="s">
        <v>71</v>
      </c>
      <c r="B74" s="37">
        <v>7661.62</v>
      </c>
    </row>
    <row r="75" spans="1:2" ht="16">
      <c r="A75" s="30" t="s">
        <v>72</v>
      </c>
      <c r="B75" s="37">
        <v>3628.28</v>
      </c>
    </row>
    <row r="76" spans="1:2" ht="16">
      <c r="A76" s="30" t="s">
        <v>73</v>
      </c>
      <c r="B76" s="37">
        <v>528.55</v>
      </c>
    </row>
    <row r="77" spans="1:2" ht="16">
      <c r="A77" s="30" t="s">
        <v>74</v>
      </c>
      <c r="B77" s="40">
        <v>0</v>
      </c>
    </row>
    <row r="78" spans="1:2" ht="16">
      <c r="A78" s="30" t="s">
        <v>75</v>
      </c>
      <c r="B78" s="37">
        <v>847.84</v>
      </c>
    </row>
    <row r="79" spans="1:2" ht="16">
      <c r="A79" s="30" t="s">
        <v>76</v>
      </c>
      <c r="B79" s="39"/>
    </row>
    <row r="80" spans="1:2" ht="16">
      <c r="A80" s="32" t="s">
        <v>77</v>
      </c>
      <c r="B80" s="37">
        <v>2018.7</v>
      </c>
    </row>
    <row r="81" spans="1:2" ht="16">
      <c r="A81" s="32" t="s">
        <v>78</v>
      </c>
      <c r="B81" s="37">
        <v>690.79</v>
      </c>
    </row>
    <row r="82" spans="1:2" ht="16">
      <c r="A82" s="32" t="s">
        <v>79</v>
      </c>
      <c r="B82" s="37">
        <v>1212.56</v>
      </c>
    </row>
    <row r="83" spans="1:2" ht="16">
      <c r="A83" s="33" t="s">
        <v>80</v>
      </c>
      <c r="B83" s="38">
        <f>B79+B80+B81+B82</f>
        <v>3922.0499999999997</v>
      </c>
    </row>
    <row r="84" spans="1:2" ht="16">
      <c r="A84" s="30" t="s">
        <v>81</v>
      </c>
      <c r="B84" s="37">
        <v>1350.47</v>
      </c>
    </row>
    <row r="85" spans="1:2" ht="16">
      <c r="A85" s="31" t="s">
        <v>82</v>
      </c>
      <c r="B85" s="38">
        <f>B27+B28+B31+B36+B37+B38+B39+B40+B41+B42+B43+B46+B47+B48+B51+B52+B53+B54+B55+B56+B57+B58+B67+B68+B69+B70+B71+B72+B73+B74+B75+B76+B77+B78+B83+B84</f>
        <v>344639.63</v>
      </c>
    </row>
    <row r="86" spans="1:2" ht="16">
      <c r="A86" s="31" t="s">
        <v>83</v>
      </c>
      <c r="B86" s="38">
        <f>B26-B85</f>
        <v>27278.389999999956</v>
      </c>
    </row>
    <row r="87" spans="1:1" ht="16">
      <c r="A87" s="29" t="s">
        <v>84</v>
      </c>
    </row>
    <row r="88" spans="1:2" ht="16">
      <c r="A88" s="30" t="s">
        <v>85</v>
      </c>
      <c r="B88" s="37">
        <v>171.0</v>
      </c>
    </row>
    <row r="89" spans="1:2" ht="16">
      <c r="A89" s="30" t="s">
        <v>86</v>
      </c>
      <c r="B89" s="37">
        <v>4000.0</v>
      </c>
    </row>
    <row r="90" spans="1:2" ht="16">
      <c r="A90" s="30" t="s">
        <v>87</v>
      </c>
      <c r="B90" s="37">
        <v>0.22</v>
      </c>
    </row>
    <row r="91" spans="1:2" ht="16">
      <c r="A91" s="30" t="s">
        <v>88</v>
      </c>
      <c r="B91" s="37">
        <v>343.71</v>
      </c>
    </row>
    <row r="92" spans="1:2" ht="16">
      <c r="A92" s="30" t="s">
        <v>89</v>
      </c>
      <c r="B92" s="37">
        <v>13.7</v>
      </c>
    </row>
    <row r="93" spans="1:2" ht="16">
      <c r="A93" s="31" t="s">
        <v>90</v>
      </c>
      <c r="B93" s="38">
        <f>B87+B88+B89+B90+B91+B92</f>
        <v>4528.63</v>
      </c>
    </row>
    <row r="94" spans="1:1" ht="16">
      <c r="A94" s="29" t="s">
        <v>91</v>
      </c>
    </row>
    <row r="95" spans="1:2" ht="16">
      <c r="A95" s="30" t="s">
        <v>92</v>
      </c>
      <c r="B95" s="40">
        <v>0</v>
      </c>
    </row>
    <row r="96" spans="1:2" ht="16">
      <c r="A96" s="31" t="s">
        <v>93</v>
      </c>
      <c r="B96" s="38">
        <f>B94+B95</f>
        <v>0.0</v>
      </c>
    </row>
    <row r="97" spans="1:2" ht="16">
      <c r="A97" s="31" t="s">
        <v>94</v>
      </c>
      <c r="B97" s="38">
        <f>B93-B96</f>
        <v>4528.63</v>
      </c>
    </row>
    <row r="98" spans="1:2" ht="16">
      <c r="A98" s="31" t="s">
        <v>95</v>
      </c>
      <c r="B98" s="38">
        <f>B86+B97</f>
        <v>31807.019999999957</v>
      </c>
    </row>
    <row r="102" spans="1:1" ht="16">
      <c r="A102" s="42" t="s">
        <v>98</v>
      </c>
    </row>
  </sheetData>
  <mergeCells count="4">
    <mergeCell ref="A1:B1"/>
    <mergeCell ref="A2:B2"/>
    <mergeCell ref="A3:B3"/>
    <mergeCell ref="A102:B10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dcterms:created xsi:type="dcterms:W3CDTF">2022-03-24T08:55:57Z</dcterms:created>
  <dcterms:modified xsi:type="dcterms:W3CDTF">2022-03-30T09:41:57Z</dcterms:modified>
  <cp:category/>
</cp:coreProperties>
</file>